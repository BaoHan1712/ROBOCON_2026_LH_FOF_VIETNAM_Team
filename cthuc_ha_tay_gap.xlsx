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F7C885-F869-419D-9956-951BCDD1A2D3}" xr6:coauthVersionLast="47" xr6:coauthVersionMax="47" xr10:uidLastSave="{00000000-0000-0000-0000-000000000000}"/>
  <bookViews>
    <workbookView xWindow="-110" yWindow="-110" windowWidth="19420" windowHeight="11500" activeTab="1" xr2:uid="{F8FDBE7F-F7BE-4D25-83BC-9D27AC42C7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D22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10" i="1"/>
  <c r="B9" i="1"/>
</calcChain>
</file>

<file path=xl/sharedStrings.xml><?xml version="1.0" encoding="utf-8"?>
<sst xmlns="http://schemas.openxmlformats.org/spreadsheetml/2006/main" count="13" uniqueCount="13">
  <si>
    <t>Góc ban đầu</t>
  </si>
  <si>
    <t>Góc muốn xuống</t>
  </si>
  <si>
    <t>Tốc độ tối thiểu</t>
  </si>
  <si>
    <t>Tốc độ tối đa</t>
  </si>
  <si>
    <t>Hệ số k</t>
  </si>
  <si>
    <t>Tốc tại biến trở đó</t>
  </si>
  <si>
    <t>Nhập biến trở muốn xem</t>
  </si>
  <si>
    <t>Số Tracking  (tới đây là dừng)</t>
  </si>
  <si>
    <t>Góc muốn xuống = 190</t>
  </si>
  <si>
    <t>Tốc độ tối đa = 250</t>
  </si>
  <si>
    <t>Tốc độ tối thiểu = 25</t>
  </si>
  <si>
    <t>Vị trí góc bắt đầu giảm = 250</t>
  </si>
  <si>
    <t>Hệ số giảm tốc: 2: giảm đều hơn
3: giảm nhanh cuối hành trình (đang dùng)
4 hoặc 5: giữ tốc độ cao lâu hơn rồi giảm rất gắt gần cuối.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</si>
</sst>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" fontId="0" fillId="0" borderId="0" xfId="0" applyNumberFormat="1"/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B903-A8D9-458D-8BBF-2693E6598182}">
  <dimension ref="A1:B90"/>
  <sheetViews>
    <sheetView workbookViewId="0">
      <selection activeCell="F17" sqref="F17"/>
    </sheetView>
  </sheetViews>
  <sheetFormatPr defaultRowHeight="14.5" x14ac:dyDescent="0.35"/>
  <cols>
    <col min="1" max="1" width="32.1796875" customWidth="1"/>
    <col min="2" max="2" width="19.26953125" bestFit="1" customWidth="1"/>
  </cols>
  <sheetData>
    <row r="1" spans="1:2" x14ac:dyDescent="0.35">
      <c r="A1" t="s">
        <v>0</v>
      </c>
      <c r="B1">
        <v>445</v>
      </c>
    </row>
    <row r="2" spans="1:2" x14ac:dyDescent="0.35">
      <c r="A2" t="s">
        <v>1</v>
      </c>
      <c r="B2">
        <v>130</v>
      </c>
    </row>
    <row r="3" spans="1:2" x14ac:dyDescent="0.35">
      <c r="A3" t="s">
        <v>7</v>
      </c>
      <c r="B3">
        <v>60</v>
      </c>
    </row>
    <row r="4" spans="1:2" x14ac:dyDescent="0.35">
      <c r="A4" t="s">
        <v>3</v>
      </c>
      <c r="B4">
        <v>250</v>
      </c>
    </row>
    <row r="5" spans="1:2" x14ac:dyDescent="0.35">
      <c r="A5" t="s">
        <v>2</v>
      </c>
      <c r="B5">
        <v>25</v>
      </c>
    </row>
    <row r="6" spans="1:2" x14ac:dyDescent="0.35">
      <c r="A6" t="s">
        <v>4</v>
      </c>
      <c r="B6">
        <v>1.3</v>
      </c>
    </row>
    <row r="8" spans="1:2" x14ac:dyDescent="0.35">
      <c r="A8" s="1" t="s">
        <v>6</v>
      </c>
      <c r="B8" s="1" t="s">
        <v>5</v>
      </c>
    </row>
    <row r="9" spans="1:2" x14ac:dyDescent="0.35">
      <c r="A9">
        <v>320</v>
      </c>
      <c r="B9">
        <f>IF(A9 &gt; $B$1, "Vượt quá góc ban đầu", IF(A9 &lt; $B$2 - $B$3, "Đã quá đích", IF(ABS(A9 - $B$2) &lt;= $B$3, $B$5, MAX($B$5, MIN($B$4, $B$5 + INT($B$6 * (($B$4 - $B$5) * IF((ABS(A9 - $B$2) - $B$3) &gt; 100, 100, ABS(A9 - $B$2) - $B$3)^2) / 10000))))))</f>
        <v>250</v>
      </c>
    </row>
    <row r="10" spans="1:2" x14ac:dyDescent="0.35">
      <c r="A10">
        <v>318</v>
      </c>
      <c r="B10">
        <f>IF(A10 &gt; $B$1, "Vượt quá góc ban đầu", IF(A10 &lt; $B$2 - $B$3, "Đã quá đích", IF(ABS(A10 - $B$2) &lt;= $B$3, $B$5, MAX($B$5, MIN($B$4, $B$5 + INT($B$6 * (($B$4 - $B$5) * IF((ABS(A10 - $B$2) - $B$3) &gt; 100, 100, ABS(A10 - $B$2) - $B$3)^2) / 10000))))))</f>
        <v>250</v>
      </c>
    </row>
    <row r="11" spans="1:2" x14ac:dyDescent="0.35">
      <c r="A11">
        <v>316</v>
      </c>
      <c r="B11">
        <f t="shared" ref="B11:B74" si="0">IF(A11 &gt; $B$1, "Vượt quá góc ban đầu", IF(A11 &lt; $B$2 - $B$3, "Đã quá đích", IF(ABS(A11 - $B$2) &lt;= $B$3, $B$5, MAX($B$5, MIN($B$4, $B$5 + INT($B$6 * (($B$4 - $B$5) * IF((ABS(A11 - $B$2) - $B$3) &gt; 100, 100, ABS(A11 - $B$2) - $B$3)^2) / 10000))))))</f>
        <v>250</v>
      </c>
    </row>
    <row r="12" spans="1:2" x14ac:dyDescent="0.35">
      <c r="A12">
        <v>314</v>
      </c>
      <c r="B12">
        <f t="shared" si="0"/>
        <v>250</v>
      </c>
    </row>
    <row r="13" spans="1:2" x14ac:dyDescent="0.35">
      <c r="A13">
        <v>312</v>
      </c>
      <c r="B13">
        <f t="shared" si="0"/>
        <v>250</v>
      </c>
    </row>
    <row r="14" spans="1:2" x14ac:dyDescent="0.35">
      <c r="A14">
        <v>310</v>
      </c>
      <c r="B14">
        <f t="shared" si="0"/>
        <v>250</v>
      </c>
    </row>
    <row r="15" spans="1:2" x14ac:dyDescent="0.35">
      <c r="A15">
        <v>308</v>
      </c>
      <c r="B15">
        <f t="shared" si="0"/>
        <v>250</v>
      </c>
    </row>
    <row r="16" spans="1:2" x14ac:dyDescent="0.35">
      <c r="A16">
        <v>306</v>
      </c>
      <c r="B16">
        <f t="shared" si="0"/>
        <v>250</v>
      </c>
    </row>
    <row r="17" spans="1:2" x14ac:dyDescent="0.35">
      <c r="A17">
        <v>304</v>
      </c>
      <c r="B17">
        <f t="shared" si="0"/>
        <v>250</v>
      </c>
    </row>
    <row r="18" spans="1:2" x14ac:dyDescent="0.35">
      <c r="A18">
        <v>302</v>
      </c>
      <c r="B18">
        <f t="shared" si="0"/>
        <v>250</v>
      </c>
    </row>
    <row r="19" spans="1:2" x14ac:dyDescent="0.35">
      <c r="A19">
        <v>300</v>
      </c>
      <c r="B19">
        <f t="shared" si="0"/>
        <v>250</v>
      </c>
    </row>
    <row r="20" spans="1:2" x14ac:dyDescent="0.35">
      <c r="A20">
        <v>298</v>
      </c>
      <c r="B20">
        <f t="shared" si="0"/>
        <v>250</v>
      </c>
    </row>
    <row r="21" spans="1:2" x14ac:dyDescent="0.35">
      <c r="A21">
        <v>296</v>
      </c>
      <c r="B21">
        <f t="shared" si="0"/>
        <v>250</v>
      </c>
    </row>
    <row r="22" spans="1:2" x14ac:dyDescent="0.35">
      <c r="A22">
        <v>294</v>
      </c>
      <c r="B22">
        <f t="shared" si="0"/>
        <v>250</v>
      </c>
    </row>
    <row r="23" spans="1:2" x14ac:dyDescent="0.35">
      <c r="A23">
        <v>292</v>
      </c>
      <c r="B23">
        <f t="shared" si="0"/>
        <v>250</v>
      </c>
    </row>
    <row r="24" spans="1:2" x14ac:dyDescent="0.35">
      <c r="A24">
        <v>290</v>
      </c>
      <c r="B24">
        <f t="shared" si="0"/>
        <v>250</v>
      </c>
    </row>
    <row r="25" spans="1:2" x14ac:dyDescent="0.35">
      <c r="A25">
        <v>288</v>
      </c>
      <c r="B25">
        <f t="shared" si="0"/>
        <v>250</v>
      </c>
    </row>
    <row r="26" spans="1:2" x14ac:dyDescent="0.35">
      <c r="A26">
        <v>286</v>
      </c>
      <c r="B26">
        <f t="shared" si="0"/>
        <v>250</v>
      </c>
    </row>
    <row r="27" spans="1:2" x14ac:dyDescent="0.35">
      <c r="A27">
        <v>284</v>
      </c>
      <c r="B27">
        <f t="shared" si="0"/>
        <v>250</v>
      </c>
    </row>
    <row r="28" spans="1:2" x14ac:dyDescent="0.35">
      <c r="A28">
        <v>282</v>
      </c>
      <c r="B28">
        <f t="shared" si="0"/>
        <v>250</v>
      </c>
    </row>
    <row r="29" spans="1:2" x14ac:dyDescent="0.35">
      <c r="A29">
        <v>280</v>
      </c>
      <c r="B29">
        <f t="shared" si="0"/>
        <v>250</v>
      </c>
    </row>
    <row r="30" spans="1:2" x14ac:dyDescent="0.35">
      <c r="A30">
        <v>278</v>
      </c>
      <c r="B30">
        <f t="shared" si="0"/>
        <v>250</v>
      </c>
    </row>
    <row r="31" spans="1:2" x14ac:dyDescent="0.35">
      <c r="A31">
        <v>276</v>
      </c>
      <c r="B31">
        <f t="shared" si="0"/>
        <v>241</v>
      </c>
    </row>
    <row r="32" spans="1:2" x14ac:dyDescent="0.35">
      <c r="A32">
        <v>274</v>
      </c>
      <c r="B32">
        <f t="shared" si="0"/>
        <v>231</v>
      </c>
    </row>
    <row r="33" spans="1:2" x14ac:dyDescent="0.35">
      <c r="A33">
        <v>272</v>
      </c>
      <c r="B33">
        <f t="shared" si="0"/>
        <v>221</v>
      </c>
    </row>
    <row r="34" spans="1:2" x14ac:dyDescent="0.35">
      <c r="A34">
        <v>270</v>
      </c>
      <c r="B34">
        <f t="shared" si="0"/>
        <v>212</v>
      </c>
    </row>
    <row r="35" spans="1:2" x14ac:dyDescent="0.35">
      <c r="A35">
        <v>268</v>
      </c>
      <c r="B35">
        <f t="shared" si="0"/>
        <v>202</v>
      </c>
    </row>
    <row r="36" spans="1:2" x14ac:dyDescent="0.35">
      <c r="A36">
        <v>266</v>
      </c>
      <c r="B36">
        <f t="shared" si="0"/>
        <v>193</v>
      </c>
    </row>
    <row r="37" spans="1:2" x14ac:dyDescent="0.35">
      <c r="A37">
        <v>264</v>
      </c>
      <c r="B37">
        <f t="shared" si="0"/>
        <v>185</v>
      </c>
    </row>
    <row r="38" spans="1:2" x14ac:dyDescent="0.35">
      <c r="A38">
        <v>262</v>
      </c>
      <c r="B38">
        <f t="shared" si="0"/>
        <v>176</v>
      </c>
    </row>
    <row r="39" spans="1:2" x14ac:dyDescent="0.35">
      <c r="A39">
        <v>260</v>
      </c>
      <c r="B39">
        <f t="shared" si="0"/>
        <v>168</v>
      </c>
    </row>
    <row r="40" spans="1:2" x14ac:dyDescent="0.35">
      <c r="A40">
        <v>258</v>
      </c>
      <c r="B40">
        <f t="shared" si="0"/>
        <v>160</v>
      </c>
    </row>
    <row r="41" spans="1:2" x14ac:dyDescent="0.35">
      <c r="A41">
        <v>256</v>
      </c>
      <c r="B41">
        <f t="shared" si="0"/>
        <v>152</v>
      </c>
    </row>
    <row r="42" spans="1:2" x14ac:dyDescent="0.35">
      <c r="A42">
        <v>254</v>
      </c>
      <c r="B42">
        <f t="shared" si="0"/>
        <v>144</v>
      </c>
    </row>
    <row r="43" spans="1:2" x14ac:dyDescent="0.35">
      <c r="A43">
        <v>252</v>
      </c>
      <c r="B43">
        <f t="shared" si="0"/>
        <v>137</v>
      </c>
    </row>
    <row r="44" spans="1:2" x14ac:dyDescent="0.35">
      <c r="A44">
        <v>250</v>
      </c>
      <c r="B44">
        <f t="shared" si="0"/>
        <v>130</v>
      </c>
    </row>
    <row r="45" spans="1:2" x14ac:dyDescent="0.35">
      <c r="A45">
        <v>248</v>
      </c>
      <c r="B45">
        <f t="shared" si="0"/>
        <v>123</v>
      </c>
    </row>
    <row r="46" spans="1:2" x14ac:dyDescent="0.35">
      <c r="A46">
        <v>246</v>
      </c>
      <c r="B46">
        <f t="shared" si="0"/>
        <v>116</v>
      </c>
    </row>
    <row r="47" spans="1:2" x14ac:dyDescent="0.35">
      <c r="A47">
        <v>244</v>
      </c>
      <c r="B47">
        <f t="shared" si="0"/>
        <v>110</v>
      </c>
    </row>
    <row r="48" spans="1:2" x14ac:dyDescent="0.35">
      <c r="A48">
        <v>242</v>
      </c>
      <c r="B48">
        <f t="shared" si="0"/>
        <v>104</v>
      </c>
    </row>
    <row r="49" spans="1:2" x14ac:dyDescent="0.35">
      <c r="A49">
        <v>240</v>
      </c>
      <c r="B49">
        <f t="shared" si="0"/>
        <v>98</v>
      </c>
    </row>
    <row r="50" spans="1:2" x14ac:dyDescent="0.35">
      <c r="A50">
        <v>238</v>
      </c>
      <c r="B50">
        <f t="shared" si="0"/>
        <v>92</v>
      </c>
    </row>
    <row r="51" spans="1:2" x14ac:dyDescent="0.35">
      <c r="A51">
        <v>236</v>
      </c>
      <c r="B51">
        <f t="shared" si="0"/>
        <v>86</v>
      </c>
    </row>
    <row r="52" spans="1:2" x14ac:dyDescent="0.35">
      <c r="A52">
        <v>234</v>
      </c>
      <c r="B52">
        <f t="shared" si="0"/>
        <v>81</v>
      </c>
    </row>
    <row r="53" spans="1:2" x14ac:dyDescent="0.35">
      <c r="A53">
        <v>232</v>
      </c>
      <c r="B53">
        <f t="shared" si="0"/>
        <v>76</v>
      </c>
    </row>
    <row r="54" spans="1:2" x14ac:dyDescent="0.35">
      <c r="A54">
        <v>230</v>
      </c>
      <c r="B54">
        <f t="shared" si="0"/>
        <v>71</v>
      </c>
    </row>
    <row r="55" spans="1:2" x14ac:dyDescent="0.35">
      <c r="A55">
        <v>228</v>
      </c>
      <c r="B55">
        <f t="shared" si="0"/>
        <v>67</v>
      </c>
    </row>
    <row r="56" spans="1:2" x14ac:dyDescent="0.35">
      <c r="A56">
        <v>226</v>
      </c>
      <c r="B56">
        <f t="shared" si="0"/>
        <v>62</v>
      </c>
    </row>
    <row r="57" spans="1:2" x14ac:dyDescent="0.35">
      <c r="A57">
        <v>224</v>
      </c>
      <c r="B57">
        <f t="shared" si="0"/>
        <v>58</v>
      </c>
    </row>
    <row r="58" spans="1:2" x14ac:dyDescent="0.35">
      <c r="A58">
        <v>222</v>
      </c>
      <c r="B58">
        <f t="shared" si="0"/>
        <v>54</v>
      </c>
    </row>
    <row r="59" spans="1:2" x14ac:dyDescent="0.35">
      <c r="A59">
        <v>220</v>
      </c>
      <c r="B59">
        <f t="shared" si="0"/>
        <v>51</v>
      </c>
    </row>
    <row r="60" spans="1:2" x14ac:dyDescent="0.35">
      <c r="A60">
        <v>218</v>
      </c>
      <c r="B60">
        <f t="shared" si="0"/>
        <v>47</v>
      </c>
    </row>
    <row r="61" spans="1:2" x14ac:dyDescent="0.35">
      <c r="A61">
        <v>216</v>
      </c>
      <c r="B61">
        <f t="shared" si="0"/>
        <v>44</v>
      </c>
    </row>
    <row r="62" spans="1:2" x14ac:dyDescent="0.35">
      <c r="A62">
        <v>214</v>
      </c>
      <c r="B62">
        <f t="shared" si="0"/>
        <v>41</v>
      </c>
    </row>
    <row r="63" spans="1:2" x14ac:dyDescent="0.35">
      <c r="A63">
        <v>212</v>
      </c>
      <c r="B63">
        <f t="shared" si="0"/>
        <v>39</v>
      </c>
    </row>
    <row r="64" spans="1:2" x14ac:dyDescent="0.35">
      <c r="A64">
        <v>210</v>
      </c>
      <c r="B64">
        <f t="shared" si="0"/>
        <v>36</v>
      </c>
    </row>
    <row r="65" spans="1:2" x14ac:dyDescent="0.35">
      <c r="A65">
        <v>208</v>
      </c>
      <c r="B65">
        <f t="shared" si="0"/>
        <v>34</v>
      </c>
    </row>
    <row r="66" spans="1:2" x14ac:dyDescent="0.35">
      <c r="A66">
        <v>206</v>
      </c>
      <c r="B66">
        <f t="shared" si="0"/>
        <v>32</v>
      </c>
    </row>
    <row r="67" spans="1:2" x14ac:dyDescent="0.35">
      <c r="A67">
        <v>204</v>
      </c>
      <c r="B67">
        <f t="shared" si="0"/>
        <v>30</v>
      </c>
    </row>
    <row r="68" spans="1:2" x14ac:dyDescent="0.35">
      <c r="A68">
        <v>202</v>
      </c>
      <c r="B68">
        <f t="shared" si="0"/>
        <v>29</v>
      </c>
    </row>
    <row r="69" spans="1:2" x14ac:dyDescent="0.35">
      <c r="A69">
        <v>200</v>
      </c>
      <c r="B69">
        <f t="shared" si="0"/>
        <v>27</v>
      </c>
    </row>
    <row r="70" spans="1:2" x14ac:dyDescent="0.35">
      <c r="A70">
        <v>198</v>
      </c>
      <c r="B70">
        <f t="shared" si="0"/>
        <v>26</v>
      </c>
    </row>
    <row r="71" spans="1:2" x14ac:dyDescent="0.35">
      <c r="A71">
        <v>196</v>
      </c>
      <c r="B71">
        <f t="shared" si="0"/>
        <v>26</v>
      </c>
    </row>
    <row r="72" spans="1:2" x14ac:dyDescent="0.35">
      <c r="A72">
        <v>194</v>
      </c>
      <c r="B72">
        <f t="shared" si="0"/>
        <v>25</v>
      </c>
    </row>
    <row r="73" spans="1:2" x14ac:dyDescent="0.35">
      <c r="A73">
        <v>192</v>
      </c>
      <c r="B73">
        <f t="shared" si="0"/>
        <v>25</v>
      </c>
    </row>
    <row r="74" spans="1:2" x14ac:dyDescent="0.35">
      <c r="A74">
        <v>190</v>
      </c>
      <c r="B74">
        <f t="shared" si="0"/>
        <v>25</v>
      </c>
    </row>
    <row r="75" spans="1:2" x14ac:dyDescent="0.35">
      <c r="A75">
        <v>188</v>
      </c>
      <c r="B75">
        <f t="shared" ref="B75:B90" si="1">IF(A75 &gt; $B$1, "Vượt quá góc ban đầu", IF(A75 &lt; $B$2 - $B$3, "Đã quá đích", IF(ABS(A75 - $B$2) &lt;= $B$3, $B$5, MAX($B$5, MIN($B$4, $B$5 + INT($B$6 * (($B$4 - $B$5) * IF((ABS(A75 - $B$2) - $B$3) &gt; 100, 100, ABS(A75 - $B$2) - $B$3)^2) / 10000))))))</f>
        <v>25</v>
      </c>
    </row>
    <row r="76" spans="1:2" x14ac:dyDescent="0.35">
      <c r="A76">
        <v>186</v>
      </c>
      <c r="B76">
        <f t="shared" si="1"/>
        <v>25</v>
      </c>
    </row>
    <row r="77" spans="1:2" x14ac:dyDescent="0.35">
      <c r="A77">
        <v>184</v>
      </c>
      <c r="B77">
        <f t="shared" si="1"/>
        <v>25</v>
      </c>
    </row>
    <row r="78" spans="1:2" x14ac:dyDescent="0.35">
      <c r="A78">
        <v>182</v>
      </c>
      <c r="B78">
        <f t="shared" si="1"/>
        <v>25</v>
      </c>
    </row>
    <row r="79" spans="1:2" x14ac:dyDescent="0.35">
      <c r="A79">
        <v>180</v>
      </c>
      <c r="B79">
        <f t="shared" si="1"/>
        <v>25</v>
      </c>
    </row>
    <row r="80" spans="1:2" x14ac:dyDescent="0.35">
      <c r="A80">
        <v>178</v>
      </c>
      <c r="B80">
        <f t="shared" si="1"/>
        <v>25</v>
      </c>
    </row>
    <row r="81" spans="1:2" x14ac:dyDescent="0.35">
      <c r="A81">
        <v>176</v>
      </c>
      <c r="B81">
        <f t="shared" si="1"/>
        <v>25</v>
      </c>
    </row>
    <row r="82" spans="1:2" x14ac:dyDescent="0.35">
      <c r="A82">
        <v>174</v>
      </c>
      <c r="B82">
        <f t="shared" si="1"/>
        <v>25</v>
      </c>
    </row>
    <row r="83" spans="1:2" x14ac:dyDescent="0.35">
      <c r="A83">
        <v>172</v>
      </c>
      <c r="B83">
        <f t="shared" si="1"/>
        <v>25</v>
      </c>
    </row>
    <row r="84" spans="1:2" x14ac:dyDescent="0.35">
      <c r="A84">
        <v>170</v>
      </c>
      <c r="B84">
        <f t="shared" si="1"/>
        <v>25</v>
      </c>
    </row>
    <row r="85" spans="1:2" x14ac:dyDescent="0.35">
      <c r="A85">
        <v>168</v>
      </c>
      <c r="B85">
        <f t="shared" si="1"/>
        <v>25</v>
      </c>
    </row>
    <row r="86" spans="1:2" x14ac:dyDescent="0.35">
      <c r="A86">
        <v>166</v>
      </c>
      <c r="B86">
        <f t="shared" si="1"/>
        <v>25</v>
      </c>
    </row>
    <row r="87" spans="1:2" x14ac:dyDescent="0.35">
      <c r="A87">
        <v>164</v>
      </c>
      <c r="B87">
        <f t="shared" si="1"/>
        <v>25</v>
      </c>
    </row>
    <row r="88" spans="1:2" x14ac:dyDescent="0.35">
      <c r="A88">
        <v>162</v>
      </c>
      <c r="B88">
        <f t="shared" si="1"/>
        <v>25</v>
      </c>
    </row>
    <row r="89" spans="1:2" x14ac:dyDescent="0.35">
      <c r="A89">
        <v>160</v>
      </c>
      <c r="B89">
        <f t="shared" si="1"/>
        <v>25</v>
      </c>
    </row>
    <row r="90" spans="1:2" x14ac:dyDescent="0.35">
      <c r="A90">
        <v>158</v>
      </c>
      <c r="B90">
        <f t="shared" si="1"/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CC73-5B2B-43CF-962E-CE0DBCC16988}">
  <dimension ref="A1:D57"/>
  <sheetViews>
    <sheetView tabSelected="1" workbookViewId="0">
      <selection activeCell="A6" sqref="A6"/>
    </sheetView>
  </sheetViews>
  <sheetFormatPr defaultRowHeight="14.5" x14ac:dyDescent="0.35"/>
  <cols>
    <col min="1" max="1" width="52.81640625" customWidth="1"/>
    <col min="2" max="2" width="9.26953125" customWidth="1"/>
    <col min="4" max="4" width="7.26953125" customWidth="1"/>
  </cols>
  <sheetData>
    <row r="1" spans="1:4" x14ac:dyDescent="0.35">
      <c r="C1" s="2"/>
      <c r="D1" s="2"/>
    </row>
    <row r="2" spans="1:4" x14ac:dyDescent="0.35">
      <c r="A2" s="5" t="s">
        <v>8</v>
      </c>
      <c r="B2" s="1">
        <v>190</v>
      </c>
      <c r="C2" s="2"/>
    </row>
    <row r="3" spans="1:4" x14ac:dyDescent="0.35">
      <c r="A3" s="5" t="s">
        <v>9</v>
      </c>
      <c r="B3" s="1">
        <v>250</v>
      </c>
      <c r="C3" s="2"/>
    </row>
    <row r="4" spans="1:4" x14ac:dyDescent="0.35">
      <c r="A4" s="5" t="s">
        <v>10</v>
      </c>
      <c r="B4" s="1">
        <v>25</v>
      </c>
      <c r="C4" s="2"/>
    </row>
    <row r="5" spans="1:4" x14ac:dyDescent="0.35">
      <c r="A5" s="5" t="s">
        <v>11</v>
      </c>
      <c r="B5" s="1">
        <v>270</v>
      </c>
      <c r="C5" s="2"/>
    </row>
    <row r="6" spans="1:4" ht="43.5" x14ac:dyDescent="0.35">
      <c r="A6" s="5" t="s">
        <v>12</v>
      </c>
      <c r="B6" s="1">
        <v>2</v>
      </c>
      <c r="C6" s="2"/>
    </row>
    <row r="7" spans="1:4" x14ac:dyDescent="0.35">
      <c r="B7" s="3">
        <v>270</v>
      </c>
      <c r="C7" s="3"/>
      <c r="D7" s="4">
        <f>ROUND(IF(B7&gt;=$B$5,
    $B$3,
    IF(B7&lt;=$B$2,
       $B$4,
       $B$4+($B$3-$B$4)*(1-(($B$5-B7)/($B$5-$B$2))^$B$6)
    )
),0)</f>
        <v>250</v>
      </c>
    </row>
    <row r="8" spans="1:4" x14ac:dyDescent="0.35">
      <c r="B8" s="3">
        <v>268</v>
      </c>
      <c r="C8" s="4"/>
      <c r="D8" s="4">
        <f t="shared" ref="D7:D47" si="0">ROUND(IF(B8&gt;=$B$5,
    $B$3,
    IF(B8&lt;=$B$2,
       $B$4,
       $B$4+($B$3-$B$4)*(1-(($B$5-B8)/($B$5-$B$2))^$B$6)
    )
),0)</f>
        <v>250</v>
      </c>
    </row>
    <row r="9" spans="1:4" x14ac:dyDescent="0.35">
      <c r="B9" s="3">
        <v>266</v>
      </c>
      <c r="C9" s="3"/>
      <c r="D9" s="4">
        <f t="shared" si="0"/>
        <v>249</v>
      </c>
    </row>
    <row r="10" spans="1:4" x14ac:dyDescent="0.35">
      <c r="B10" s="3">
        <v>264</v>
      </c>
      <c r="C10" s="4"/>
      <c r="D10" s="4">
        <f t="shared" si="0"/>
        <v>249</v>
      </c>
    </row>
    <row r="11" spans="1:4" x14ac:dyDescent="0.35">
      <c r="B11" s="3">
        <v>262</v>
      </c>
      <c r="C11" s="3"/>
      <c r="D11" s="4">
        <f t="shared" si="0"/>
        <v>248</v>
      </c>
    </row>
    <row r="12" spans="1:4" x14ac:dyDescent="0.35">
      <c r="B12" s="3">
        <v>260</v>
      </c>
      <c r="C12" s="4"/>
      <c r="D12" s="4">
        <f t="shared" si="0"/>
        <v>246</v>
      </c>
    </row>
    <row r="13" spans="1:4" x14ac:dyDescent="0.35">
      <c r="B13" s="3">
        <v>258</v>
      </c>
      <c r="C13" s="3"/>
      <c r="D13" s="4">
        <f t="shared" si="0"/>
        <v>245</v>
      </c>
    </row>
    <row r="14" spans="1:4" x14ac:dyDescent="0.35">
      <c r="B14" s="3">
        <v>256</v>
      </c>
      <c r="C14" s="4"/>
      <c r="D14" s="4">
        <f t="shared" si="0"/>
        <v>243</v>
      </c>
    </row>
    <row r="15" spans="1:4" x14ac:dyDescent="0.35">
      <c r="B15" s="3">
        <v>254</v>
      </c>
      <c r="C15" s="3"/>
      <c r="D15" s="4">
        <f t="shared" si="0"/>
        <v>241</v>
      </c>
    </row>
    <row r="16" spans="1:4" x14ac:dyDescent="0.35">
      <c r="B16" s="3">
        <v>252</v>
      </c>
      <c r="C16" s="4"/>
      <c r="D16" s="4">
        <f t="shared" si="0"/>
        <v>239</v>
      </c>
    </row>
    <row r="17" spans="2:4" x14ac:dyDescent="0.35">
      <c r="B17" s="3">
        <v>250</v>
      </c>
      <c r="C17" s="3"/>
      <c r="D17" s="4">
        <f t="shared" si="0"/>
        <v>236</v>
      </c>
    </row>
    <row r="18" spans="2:4" x14ac:dyDescent="0.35">
      <c r="B18" s="3">
        <v>248</v>
      </c>
      <c r="C18" s="4"/>
      <c r="D18" s="4">
        <f t="shared" si="0"/>
        <v>233</v>
      </c>
    </row>
    <row r="19" spans="2:4" x14ac:dyDescent="0.35">
      <c r="B19" s="3">
        <v>246</v>
      </c>
      <c r="C19" s="3"/>
      <c r="D19" s="4">
        <f t="shared" si="0"/>
        <v>230</v>
      </c>
    </row>
    <row r="20" spans="2:4" x14ac:dyDescent="0.35">
      <c r="B20" s="3">
        <v>244</v>
      </c>
      <c r="C20" s="4"/>
      <c r="D20" s="4">
        <f t="shared" si="0"/>
        <v>226</v>
      </c>
    </row>
    <row r="21" spans="2:4" x14ac:dyDescent="0.35">
      <c r="B21" s="3">
        <v>242</v>
      </c>
      <c r="C21" s="3"/>
      <c r="D21" s="4">
        <f t="shared" si="0"/>
        <v>222</v>
      </c>
    </row>
    <row r="22" spans="2:4" x14ac:dyDescent="0.35">
      <c r="B22" s="3">
        <v>240</v>
      </c>
      <c r="C22" s="4"/>
      <c r="D22" s="4">
        <f>ROUND(IF(B22&gt;=$B$5,
    $B$3,
    IF(B22&lt;=$B$2,
       $B$4,
       $B$4+($B$3-$B$4)*(1-(($B$5-B22)/($B$5-$B$2))^$B$6)
    )
),0)</f>
        <v>218</v>
      </c>
    </row>
    <row r="23" spans="2:4" x14ac:dyDescent="0.35">
      <c r="B23" s="3">
        <v>238</v>
      </c>
      <c r="C23" s="3"/>
      <c r="D23" s="4">
        <f t="shared" si="0"/>
        <v>214</v>
      </c>
    </row>
    <row r="24" spans="2:4" x14ac:dyDescent="0.35">
      <c r="B24" s="3">
        <v>236</v>
      </c>
      <c r="C24" s="4"/>
      <c r="D24" s="4">
        <f t="shared" si="0"/>
        <v>209</v>
      </c>
    </row>
    <row r="25" spans="2:4" x14ac:dyDescent="0.35">
      <c r="B25" s="3">
        <v>234</v>
      </c>
      <c r="C25" s="3"/>
      <c r="D25" s="4">
        <f t="shared" si="0"/>
        <v>204</v>
      </c>
    </row>
    <row r="26" spans="2:4" x14ac:dyDescent="0.35">
      <c r="B26" s="3">
        <v>232</v>
      </c>
      <c r="C26" s="4"/>
      <c r="D26" s="4">
        <f t="shared" si="0"/>
        <v>199</v>
      </c>
    </row>
    <row r="27" spans="2:4" x14ac:dyDescent="0.35">
      <c r="B27" s="3">
        <v>230</v>
      </c>
      <c r="C27" s="3"/>
      <c r="D27" s="4">
        <f t="shared" si="0"/>
        <v>194</v>
      </c>
    </row>
    <row r="28" spans="2:4" x14ac:dyDescent="0.35">
      <c r="B28" s="3">
        <v>228</v>
      </c>
      <c r="C28" s="4"/>
      <c r="D28" s="4">
        <f t="shared" si="0"/>
        <v>188</v>
      </c>
    </row>
    <row r="29" spans="2:4" x14ac:dyDescent="0.35">
      <c r="B29" s="3">
        <v>226</v>
      </c>
      <c r="C29" s="3"/>
      <c r="D29" s="4">
        <f t="shared" si="0"/>
        <v>182</v>
      </c>
    </row>
    <row r="30" spans="2:4" x14ac:dyDescent="0.35">
      <c r="B30" s="3">
        <v>224</v>
      </c>
      <c r="C30" s="4"/>
      <c r="D30" s="4">
        <f t="shared" si="0"/>
        <v>176</v>
      </c>
    </row>
    <row r="31" spans="2:4" x14ac:dyDescent="0.35">
      <c r="B31" s="3">
        <v>222</v>
      </c>
      <c r="C31" s="4"/>
      <c r="D31" s="4">
        <f t="shared" si="0"/>
        <v>169</v>
      </c>
    </row>
    <row r="32" spans="2:4" x14ac:dyDescent="0.35">
      <c r="B32" s="3">
        <v>220</v>
      </c>
      <c r="C32" s="3"/>
      <c r="D32" s="4">
        <f t="shared" si="0"/>
        <v>162</v>
      </c>
    </row>
    <row r="33" spans="2:4" x14ac:dyDescent="0.35">
      <c r="B33" s="3">
        <v>218</v>
      </c>
      <c r="C33" s="4"/>
      <c r="D33" s="4">
        <f t="shared" si="0"/>
        <v>155</v>
      </c>
    </row>
    <row r="34" spans="2:4" x14ac:dyDescent="0.35">
      <c r="B34" s="3">
        <v>216</v>
      </c>
      <c r="C34" s="3"/>
      <c r="D34" s="4">
        <f t="shared" si="0"/>
        <v>147</v>
      </c>
    </row>
    <row r="35" spans="2:4" x14ac:dyDescent="0.35">
      <c r="B35" s="3">
        <v>214</v>
      </c>
      <c r="C35" s="4"/>
      <c r="D35" s="4">
        <f t="shared" si="0"/>
        <v>140</v>
      </c>
    </row>
    <row r="36" spans="2:4" x14ac:dyDescent="0.35">
      <c r="B36" s="3">
        <v>212</v>
      </c>
      <c r="C36" s="3"/>
      <c r="D36" s="4">
        <f t="shared" si="0"/>
        <v>132</v>
      </c>
    </row>
    <row r="37" spans="2:4" x14ac:dyDescent="0.35">
      <c r="B37" s="3">
        <v>210</v>
      </c>
      <c r="C37" s="4"/>
      <c r="D37" s="4">
        <f t="shared" si="0"/>
        <v>123</v>
      </c>
    </row>
    <row r="38" spans="2:4" x14ac:dyDescent="0.35">
      <c r="B38" s="3">
        <v>208</v>
      </c>
      <c r="C38" s="3"/>
      <c r="D38" s="4">
        <f t="shared" si="0"/>
        <v>115</v>
      </c>
    </row>
    <row r="39" spans="2:4" x14ac:dyDescent="0.35">
      <c r="B39" s="3">
        <v>206</v>
      </c>
      <c r="C39" s="4"/>
      <c r="D39" s="4">
        <f t="shared" si="0"/>
        <v>106</v>
      </c>
    </row>
    <row r="40" spans="2:4" x14ac:dyDescent="0.35">
      <c r="B40" s="3">
        <v>204</v>
      </c>
      <c r="C40" s="3"/>
      <c r="D40" s="4">
        <f t="shared" si="0"/>
        <v>97</v>
      </c>
    </row>
    <row r="41" spans="2:4" x14ac:dyDescent="0.35">
      <c r="B41" s="3">
        <v>202</v>
      </c>
      <c r="C41" s="4"/>
      <c r="D41" s="4">
        <f t="shared" si="0"/>
        <v>87</v>
      </c>
    </row>
    <row r="42" spans="2:4" x14ac:dyDescent="0.35">
      <c r="B42" s="3">
        <v>200</v>
      </c>
      <c r="C42" s="3"/>
      <c r="D42" s="4">
        <f t="shared" si="0"/>
        <v>78</v>
      </c>
    </row>
    <row r="43" spans="2:4" x14ac:dyDescent="0.35">
      <c r="B43" s="3">
        <v>198</v>
      </c>
      <c r="C43" s="4"/>
      <c r="D43" s="4">
        <f t="shared" si="0"/>
        <v>68</v>
      </c>
    </row>
    <row r="44" spans="2:4" x14ac:dyDescent="0.35">
      <c r="B44" s="3">
        <v>196</v>
      </c>
      <c r="C44" s="3"/>
      <c r="D44" s="4">
        <f t="shared" si="0"/>
        <v>57</v>
      </c>
    </row>
    <row r="45" spans="2:4" x14ac:dyDescent="0.35">
      <c r="B45" s="3">
        <v>194</v>
      </c>
      <c r="C45" s="4"/>
      <c r="D45" s="4">
        <f t="shared" si="0"/>
        <v>47</v>
      </c>
    </row>
    <row r="46" spans="2:4" x14ac:dyDescent="0.35">
      <c r="B46" s="3">
        <v>192</v>
      </c>
      <c r="C46" s="3"/>
      <c r="D46" s="4">
        <f t="shared" si="0"/>
        <v>36</v>
      </c>
    </row>
    <row r="47" spans="2:4" x14ac:dyDescent="0.35">
      <c r="B47" s="3">
        <v>190</v>
      </c>
      <c r="C47" s="4"/>
      <c r="D47" s="4">
        <f t="shared" si="0"/>
        <v>25</v>
      </c>
    </row>
    <row r="48" spans="2:4" x14ac:dyDescent="0.35">
      <c r="B48" s="3"/>
      <c r="C48" s="4"/>
      <c r="D48" s="4"/>
    </row>
    <row r="49" spans="2:4" x14ac:dyDescent="0.35">
      <c r="B49" s="3"/>
      <c r="C49" s="3"/>
      <c r="D49" s="4"/>
    </row>
    <row r="50" spans="2:4" x14ac:dyDescent="0.35">
      <c r="B50" s="3"/>
      <c r="C50" s="4"/>
      <c r="D50" s="4"/>
    </row>
    <row r="51" spans="2:4" x14ac:dyDescent="0.35">
      <c r="B51" s="3"/>
      <c r="C51" s="3"/>
      <c r="D51" s="4"/>
    </row>
    <row r="52" spans="2:4" x14ac:dyDescent="0.35">
      <c r="B52" s="3"/>
      <c r="C52" s="4"/>
      <c r="D52" s="4"/>
    </row>
    <row r="53" spans="2:4" x14ac:dyDescent="0.35">
      <c r="B53" s="3"/>
      <c r="C53" s="3"/>
      <c r="D53" s="4"/>
    </row>
    <row r="54" spans="2:4" x14ac:dyDescent="0.35">
      <c r="B54" s="3"/>
      <c r="C54" s="4"/>
      <c r="D54" s="4"/>
    </row>
    <row r="55" spans="2:4" x14ac:dyDescent="0.35">
      <c r="B55" s="3"/>
      <c r="C55" s="3"/>
      <c r="D55" s="4"/>
    </row>
    <row r="56" spans="2:4" x14ac:dyDescent="0.35">
      <c r="B56" s="3"/>
      <c r="C56" s="4"/>
      <c r="D56" s="4"/>
    </row>
    <row r="57" spans="2:4" x14ac:dyDescent="0.35">
      <c r="B57" s="3"/>
      <c r="C57" s="3"/>
      <c r="D57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CBEEAA0AD2CFD84AA7BE65C17D94A45E" ma:contentTypeVersion="4" ma:contentTypeDescription="Tạo tài liệu mới." ma:contentTypeScope="" ma:versionID="4dc97a2c8616134fb7a7b9593e188c16">
  <xsd:schema xmlns:xsd="http://www.w3.org/2001/XMLSchema" xmlns:xs="http://www.w3.org/2001/XMLSchema" xmlns:p="http://schemas.microsoft.com/office/2006/metadata/properties" xmlns:ns3="503f91e6-ecb5-46db-8c12-a2d8a4325106" targetNamespace="http://schemas.microsoft.com/office/2006/metadata/properties" ma:root="true" ma:fieldsID="6836636f2bde9d15a86adddb01d5992f" ns3:_="">
    <xsd:import namespace="503f91e6-ecb5-46db-8c12-a2d8a432510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f91e6-ecb5-46db-8c12-a2d8a432510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460FB8-6659-4FFF-AFC4-BC16B4403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f91e6-ecb5-46db-8c12-a2d8a43251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B30E9-C8BC-45F9-BFF9-48BB09D62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172CC-70AB-4B5B-9E42-F8EB63BD51D9}">
  <ds:schemaRefs>
    <ds:schemaRef ds:uri="http://schemas.openxmlformats.org/package/2006/metadata/core-properties"/>
    <ds:schemaRef ds:uri="503f91e6-ecb5-46db-8c12-a2d8a4325106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Hàn Quốc Bảo</dc:creator>
  <cp:lastModifiedBy>Hàn Quốc Bảo</cp:lastModifiedBy>
  <dcterms:created xsi:type="dcterms:W3CDTF">2026-06-14T05:33:58Z</dcterms:created>
  <dcterms:modified xsi:type="dcterms:W3CDTF">2026-06-14T11:45:08Z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0x010100CBEEAA0AD2CFD84AA7BE65C17D94A45E</vt:lpwstr>
  </property>
</Properties>
</file>